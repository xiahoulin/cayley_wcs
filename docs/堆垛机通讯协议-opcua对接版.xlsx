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57428\Desktop\"/>
    </mc:Choice>
  </mc:AlternateContent>
  <xr:revisionPtr revIDLastSave="0" documentId="8_{860A57EA-691E-4727-84DB-DF758DFF4F58}" xr6:coauthVersionLast="47" xr6:coauthVersionMax="47" xr10:uidLastSave="{00000000-0000-0000-0000-000000000000}"/>
  <bookViews>
    <workbookView xWindow="-103" yWindow="-103" windowWidth="27634" windowHeight="16629" activeTab="1" xr2:uid="{00000000-000D-0000-FFFF-FFFF00000000}"/>
  </bookViews>
  <sheets>
    <sheet name="堆垛机标准协议" sheetId="1" r:id="rId1"/>
    <sheet name="WCS对接流程" sheetId="2" r:id="rId2"/>
  </sheets>
  <calcPr calcId="191029" concurrentCalc="0"/>
</workbook>
</file>

<file path=xl/calcChain.xml><?xml version="1.0" encoding="utf-8"?>
<calcChain xmlns="http://schemas.openxmlformats.org/spreadsheetml/2006/main">
  <c r="H27" i="1" l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<sst xmlns="http://schemas.openxmlformats.org/spreadsheetml/2006/main" count="316" uniqueCount="174">
  <si>
    <t>编号</t>
  </si>
  <si>
    <t>数据块</t>
  </si>
  <si>
    <t>模块</t>
  </si>
  <si>
    <t>字段</t>
  </si>
  <si>
    <t>功能项</t>
  </si>
  <si>
    <t>说明内容</t>
  </si>
  <si>
    <t>read/write</t>
  </si>
  <si>
    <t>符号名</t>
  </si>
  <si>
    <t>数据类型</t>
  </si>
  <si>
    <t>PLC地址</t>
  </si>
  <si>
    <t>WCS_Task</t>
  </si>
  <si>
    <t>From_WCS</t>
  </si>
  <si>
    <t>WCS_Heart</t>
  </si>
  <si>
    <t>WCS_Heartbeat</t>
  </si>
  <si>
    <t>0↔1,5秒交替</t>
  </si>
  <si>
    <t>W</t>
  </si>
  <si>
    <t>INT</t>
  </si>
  <si>
    <t>DB100.DBW0</t>
  </si>
  <si>
    <t>WCS与PLC交互流程：
1.建立通讯连接；
检查阶段：
2.读【状态_运行模式】，确认是否【联机自动】模式；
3.读【状态_故障代码】，确认是否【无故障】；
4.读【状态_任务状态】，确认是否【无任务】；
任务确认阶段：
5.写【命令_放货地址排】或者【命令_取货地址排】
6.写【命令_放货地址列】或者【命令_取货地址列】
7.写【命令_放货地址层】或者【命令_取货地址层】
8.写【命令_取放货口】
9.写【命令_任务号】
10.写【命令_任务类型】=【入库】或【出库】或【移库】或【移动】
任务执行阶段：
11.读【状态_任务状态】=【无任务】时，写【命令_任务确认】=【执行任务】
12.读【状态_任务状态】=【执行任务】时，写【命令_任务确认】=【无意义】
13.读【状态_任务状态】=【执行完成】时，写【命令_任务确认】=【任务完成确认】
任务清理阶段：
14.写【命令_放货地址排】以及【命令_取货地址排】= 0
15.写【命令_放货地址列】以及【命令_取货地址列】= 0
16.写【命令_放货地址层】以及【命令_取货地址层】= 0
17.写【命令_取放货口】= 0
18.写【命令_任务号】= 0
19.写【命令_任务类型】= 【无任务】
20.写【命令_任务确认】= 【无意义】</t>
  </si>
  <si>
    <t>cmd_TaskType</t>
  </si>
  <si>
    <t>命令_任务类型</t>
  </si>
  <si>
    <t>0-无任务
1-入库
2-出库
3-移库
4-移动（需要取货列，层确定位置）
5-急停
6-解警</t>
  </si>
  <si>
    <t>DB100.DBW2</t>
  </si>
  <si>
    <t>cmd_ResetFault</t>
  </si>
  <si>
    <t>命令_异常处理</t>
  </si>
  <si>
    <t>DB100.DBW4</t>
  </si>
  <si>
    <t>cmd_TakeCoor_Row</t>
  </si>
  <si>
    <t>命令_取货地址排</t>
  </si>
  <si>
    <t>1-2</t>
  </si>
  <si>
    <t>DB100.DBW6</t>
  </si>
  <si>
    <t>cmd_TakeCoor_Column</t>
  </si>
  <si>
    <t>命令_取货地址列</t>
  </si>
  <si>
    <t>1-7</t>
  </si>
  <si>
    <t>DB100.DBW8</t>
  </si>
  <si>
    <t>cmd_TakeCoor_Floor</t>
  </si>
  <si>
    <t>命令_取货地址层</t>
  </si>
  <si>
    <t>1-9</t>
  </si>
  <si>
    <t>DB100.DBW10</t>
  </si>
  <si>
    <t>cmd_PutCoor_Row</t>
  </si>
  <si>
    <t>命令_放货地址排</t>
  </si>
  <si>
    <r>
      <rPr>
        <sz val="11"/>
        <color theme="1"/>
        <rFont val="宋体"/>
        <charset val="134"/>
      </rPr>
      <t>1-</t>
    </r>
    <r>
      <rPr>
        <sz val="11"/>
        <color theme="1"/>
        <rFont val="宋体"/>
        <charset val="134"/>
      </rPr>
      <t>2</t>
    </r>
  </si>
  <si>
    <t>DB100.DBW12</t>
  </si>
  <si>
    <t>cmd_PutCoor_Column</t>
  </si>
  <si>
    <t>命令_放货地址列</t>
  </si>
  <si>
    <t>DB100.DBW14</t>
  </si>
  <si>
    <t>cmd_PutCoor_Floor</t>
  </si>
  <si>
    <t>命令_放货地址层</t>
  </si>
  <si>
    <t>DB100.DBW16</t>
  </si>
  <si>
    <t>cmd_PortNum</t>
  </si>
  <si>
    <t>命令_取放货口</t>
  </si>
  <si>
    <t>1-2（凯福升替换项目，只有一个输送线，只发1）</t>
  </si>
  <si>
    <t>DB100.DBW18</t>
  </si>
  <si>
    <t>cmd_TaskNum</t>
  </si>
  <si>
    <t>命令_任务号</t>
  </si>
  <si>
    <r>
      <rPr>
        <sz val="11"/>
        <color theme="1"/>
        <rFont val="宋体"/>
        <charset val="134"/>
      </rPr>
      <t>1-</t>
    </r>
    <r>
      <rPr>
        <sz val="11"/>
        <color theme="1"/>
        <rFont val="宋体"/>
        <charset val="134"/>
      </rPr>
      <t>65534</t>
    </r>
  </si>
  <si>
    <t>DB100.DBW20</t>
  </si>
  <si>
    <t>cmd_ConfirmTask</t>
  </si>
  <si>
    <t>命令_任务确认</t>
  </si>
  <si>
    <t>0-无意义
1-执行任务
2-任务完成确认</t>
  </si>
  <si>
    <t>DB100.DBW22</t>
  </si>
  <si>
    <t>To_WCS</t>
  </si>
  <si>
    <t>PLC_Heart</t>
  </si>
  <si>
    <t>PLC_Heartbeat</t>
  </si>
  <si>
    <r>
      <rPr>
        <sz val="11"/>
        <color theme="1"/>
        <rFont val="宋体"/>
        <charset val="134"/>
      </rPr>
      <t>0</t>
    </r>
    <r>
      <rPr>
        <sz val="11"/>
        <color theme="1"/>
        <rFont val="宋体"/>
        <charset val="134"/>
      </rPr>
      <t>↔</t>
    </r>
    <r>
      <rPr>
        <sz val="11"/>
        <color theme="1"/>
        <rFont val="宋体"/>
        <charset val="134"/>
      </rPr>
      <t>1,5秒交替</t>
    </r>
  </si>
  <si>
    <t>R</t>
  </si>
  <si>
    <t>DB100.DBW24</t>
  </si>
  <si>
    <t>status_Mode</t>
  </si>
  <si>
    <t>状态_运行模式</t>
  </si>
  <si>
    <r>
      <rPr>
        <sz val="11"/>
        <color theme="1"/>
        <rFont val="宋体"/>
        <charset val="134"/>
      </rPr>
      <t>0-断电
1-单机手动
2-联机自动</t>
    </r>
    <r>
      <rPr>
        <sz val="11"/>
        <rFont val="宋体"/>
        <charset val="134"/>
      </rPr>
      <t xml:space="preserve">
3-维护模式
4-上电</t>
    </r>
  </si>
  <si>
    <t>DB100.DBW26</t>
  </si>
  <si>
    <t>status_Task</t>
  </si>
  <si>
    <t>状态_任务状态</t>
  </si>
  <si>
    <r>
      <rPr>
        <sz val="11"/>
        <rFont val="宋体"/>
        <charset val="134"/>
      </rPr>
      <t>0-无任务</t>
    </r>
    <r>
      <rPr>
        <sz val="11"/>
        <color theme="1"/>
        <rFont val="宋体"/>
        <charset val="134"/>
      </rPr>
      <t xml:space="preserve">
1-执行任务
2-任务完成</t>
    </r>
  </si>
  <si>
    <t>DB100.DBW28</t>
  </si>
  <si>
    <t>status_TaskTypeFeedback</t>
  </si>
  <si>
    <t>状态_任务类型</t>
  </si>
  <si>
    <t xml:space="preserve">0-待机 
1-入库
2-出库
3-移动
4-转库
5-急停
</t>
  </si>
  <si>
    <t>DB100.DBW30</t>
  </si>
  <si>
    <t>status_CurrentColumnNum</t>
  </si>
  <si>
    <t>状态_当前列</t>
  </si>
  <si>
    <t>DB100.DBW32</t>
  </si>
  <si>
    <t>status_CurrentFloorNum</t>
  </si>
  <si>
    <t>状态_当前层</t>
  </si>
  <si>
    <t>DB100.DBW34</t>
  </si>
  <si>
    <t>status_Speed_Lift</t>
  </si>
  <si>
    <t>状态_提升速度</t>
  </si>
  <si>
    <t>mm/s</t>
  </si>
  <si>
    <t>REAL</t>
  </si>
  <si>
    <t>DB100.DBD36</t>
  </si>
  <si>
    <t>status_Speed_Walk</t>
  </si>
  <si>
    <t>状态_行走速度</t>
  </si>
  <si>
    <t>DB100.DBD40</t>
  </si>
  <si>
    <t>status_Speed_Fork</t>
  </si>
  <si>
    <t>状态_货叉速度</t>
  </si>
  <si>
    <t>DB100.DBD44</t>
  </si>
  <si>
    <t>status_CurrentPos_Walk</t>
  </si>
  <si>
    <t>状态_行走方向测距</t>
  </si>
  <si>
    <t>单位mm</t>
  </si>
  <si>
    <t>DB100.DBD48</t>
  </si>
  <si>
    <t>status_CurrentPos_Lift</t>
  </si>
  <si>
    <t>状态_提升方向测距</t>
  </si>
  <si>
    <t>DB100.DBD52</t>
  </si>
  <si>
    <t>status_CurrentPos_Fork</t>
  </si>
  <si>
    <t>状态_货叉方向测距</t>
  </si>
  <si>
    <t>DB100.DBD56</t>
  </si>
  <si>
    <t>status_TaskNum</t>
  </si>
  <si>
    <t>状态_任务号</t>
  </si>
  <si>
    <r>
      <rPr>
        <sz val="11"/>
        <color theme="1"/>
        <rFont val="宋体"/>
        <charset val="134"/>
      </rPr>
      <t>1-6553</t>
    </r>
    <r>
      <rPr>
        <sz val="11"/>
        <color theme="1"/>
        <rFont val="宋体"/>
        <charset val="134"/>
      </rPr>
      <t>4</t>
    </r>
  </si>
  <si>
    <t>DB100.DBW60</t>
  </si>
  <si>
    <t>status_Cargo</t>
  </si>
  <si>
    <t>状态_货物状态</t>
  </si>
  <si>
    <t>1=载货台空
2=载货台有货</t>
  </si>
  <si>
    <t>DB100.DBW62</t>
  </si>
  <si>
    <t>故障代码</t>
  </si>
  <si>
    <t>状态_故障代码</t>
  </si>
  <si>
    <t xml:space="preserve">1行走轴误差过大，请在下限位校准回原
2断带检测1触发
3断带检测2触发
4货仓超长检测1触发
5货仓超长检测2触发
6货仓超高检测1触发
7货仓超高检测2触发
8里库位检测1触发，库位已占有
9里库位检测2触发，库位已占有
10货仓超宽检测1触发
11货仓超宽检测2触发
12货仓超宽检测3触发
13货仓超宽检测4触发
14货仓货物检测未触发，无货物
15货仓货物检测触发，货物还在货仓
16里库位检测1未触发，库位无货物
17里库位检测2未触发，库位无货物
18平移轴驱动器错误，丢失“驱动器就绪”信号
19平移轴已触发下限软限位开关
20平移轴已触发上限软限位开关
21平移轴已接近下限硬限位开关
22平移轴已接近上限硬限位开关
23平移轴编码器发出报警消息
24平移轴未回原点
25平移轴无法启用
26平移轴未找到参考开关/编码器零位标记
27平移轴硬限位开关错误
28升降轴驱动器错误，丢失“驱动器就绪”信号
29升降轴已触发下限软限位开关
30升降轴已触发上限软限位开关
31升降轴已接近下限硬限位开关
32升降轴已接近上限硬限位开关
33升降轴编码器发出报警消息
34升降轴未回原点
35升降轴无法启用
36升降轴未找到参考开关/编码器零位标记
37升降轴硬限位开关错误
38货叉轴驱动器错误，丢失“驱动器就绪”信号
39货叉轴已触发下限软限位开关
40货叉轴已触发上限软限位开关
41货叉轴已接近下限硬限位开关
42货叉轴已接近上限硬限位开关
43货叉轴编码器发出报警消息
44货叉轴未回原点
45货叉轴无法启用
46货叉轴未找到参考开关/编码器零位标记
47货叉轴硬限位开关错误
48 3轴已复位
</t>
  </si>
  <si>
    <t>ARRAY[1..60]
 OF INT</t>
  </si>
  <si>
    <t>DB100.DBW64-
DB100.DBW182</t>
  </si>
  <si>
    <t>WCS 与堆垛机 PLC 对接流程</t>
  </si>
  <si>
    <t>一、协议本质</t>
  </si>
  <si>
    <t>基于西门子 PLC 数据块 DB100 的内存映射式协议（非报文协议）。WCS 通过 S7 通讯（Snap7 / S7.Net / OPC UA）直接读写 DB100 固定地址，无需拼帧/校验。</t>
  </si>
  <si>
    <t>数据块 WCS_Task 分两个方向：From_WCS = WCS 写入的命令区（W）；To_WCS = PLC 上报、WCS 读取的状态区（R）。</t>
  </si>
  <si>
    <t>类型说明：INT 占 DBW（字，2字节）；REAL 占 DBD（双字，4字节）。西门子大端字节序，按类型解析。</t>
  </si>
  <si>
    <t>二、地址映射表</t>
  </si>
  <si>
    <t>【WCS → PLC】命令区（写 W）</t>
  </si>
  <si>
    <t>类型</t>
  </si>
  <si>
    <t>含义 / 取值</t>
  </si>
  <si>
    <t>WCS心跳，0↔1 每5秒交替</t>
  </si>
  <si>
    <t>任务类型 0无/1入库/2出库/3移库/4移动/5急停/6解警</t>
  </si>
  <si>
    <t>异常处理</t>
  </si>
  <si>
    <t>取货地址-排 1-2</t>
  </si>
  <si>
    <t>取货地址-列 1-7</t>
  </si>
  <si>
    <t>取货地址-层 1-9</t>
  </si>
  <si>
    <t>放货地址-排 1-2</t>
  </si>
  <si>
    <t>放货地址-列 1-7</t>
  </si>
  <si>
    <t>放货地址-层 1-9</t>
  </si>
  <si>
    <t>取放货口 1-2</t>
  </si>
  <si>
    <t>任务号 1-65534</t>
  </si>
  <si>
    <t>任务确认 0无意义/1执行任务/2任务完成确认</t>
  </si>
  <si>
    <t>【PLC → WCS】状态区（读 R）</t>
  </si>
  <si>
    <t>PLC心跳，0↔1 每5秒交替；超时判断通讯断</t>
  </si>
  <si>
    <t>0断电/1单机手动/2联机自动/3维护/4上电</t>
  </si>
  <si>
    <t>0无任务/1执行中/2执行完成</t>
  </si>
  <si>
    <t>任务类型回馈 0待机/1入库/2出库/3移动/4转库/5急停</t>
  </si>
  <si>
    <t>当前列 1-7</t>
  </si>
  <si>
    <t>当前层 1-9</t>
  </si>
  <si>
    <t>提升速度 mm/s</t>
  </si>
  <si>
    <t>行走速度 mm/s</t>
  </si>
  <si>
    <t>货叉速度 mm/s</t>
  </si>
  <si>
    <t>行走方向测距 mm</t>
  </si>
  <si>
    <t>提升方向测距 mm</t>
  </si>
  <si>
    <t>货叉方向测距 mm</t>
  </si>
  <si>
    <t>状态任务号 1-65534</t>
  </si>
  <si>
    <t>1载货台空 / 2载货台有货</t>
  </si>
  <si>
    <t>DB100.DBW64-DBW182</t>
  </si>
  <si>
    <t>ARRAY[1..60] OF INT</t>
  </si>
  <si>
    <t>故障码数组，遍历取非零项，对照原表 F28 的48条释义翻译</t>
  </si>
  <si>
    <t>三、对接落地步骤</t>
  </si>
  <si>
    <t>阶段</t>
  </si>
  <si>
    <t>操作</t>
  </si>
  <si>
    <t>1. 建立连接</t>
  </si>
  <si>
    <t>S7 库连接 PLC IP、指定 DB100。建议双线程：一个 100~200ms 周期轮询状态区（DBW24-DBW182），一个负责写命令区。</t>
  </si>
  <si>
    <t>2. 心跳维护</t>
  </si>
  <si>
    <t>WCS 每5秒翻转 DBW0（0/1）；同时监控 DBW24（PLC心跳）是否跳动，超时判定通讯断开报警。</t>
  </si>
  <si>
    <t>3. 下发前检查</t>
  </si>
  <si>
    <t>读 DBW26=2（联机自动）；读故障数组（DBW64起）确认无故障；读 DBW28=0（无任务）。</t>
  </si>
  <si>
    <t>4. 任务下发</t>
  </si>
  <si>
    <t>顺序关键：①先写取/放货地址 排/列/层 → ②写取放货口 DBW18 → ③写任务号 DBW20 → ④最后写任务类型 DBW2。</t>
  </si>
  <si>
    <t>5. 任务确认握手</t>
  </si>
  <si>
    <t>读 DBW28=0（无任务）时→写 DBW22=1（执行）；读 DBW28=1（执行中）时→写 DBW22=0（无意义，撤销触发沿）；读 DBW28=2（完成）时→写 DBW22=2（完成确认）。</t>
  </si>
  <si>
    <t>6. 任务清理</t>
  </si>
  <si>
    <t>完成后将所有命令字（地址、货口、任务号、任务类型、确认）全部清 0，回到待机，等下一任务。</t>
  </si>
  <si>
    <t>四、对接要点提醒</t>
  </si>
  <si>
    <t>① 触发逻辑是「电平+握手」而非边沿脉冲：cmd_ConfirmTask 要按状态机来回写 1→0→2，不能只写一次，否则 PLC 收不到完成确认。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</si>
</sst>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name val="宋体"/>
      <charset val="134"/>
      <scheme val="minor"/>
    </font>
    <font>
      <sz val="11"/>
      <name val="宋体"/>
      <charset val="134"/>
    </font>
    <font>
      <sz val="9"/>
      <name val="宋体"/>
      <charset val="134"/>
      <scheme val="minor"/>
    </font>
    <font>
      <b/>
      <sz val="16"/>
      <color rgb="FFFFFFFF"/>
      <name val="宋体"/>
      <charset val="134"/>
      <scheme val="minor"/>
    </font>
    <font>
      <b/>
      <sz val="12"/>
      <color rgb="FF1F4E78"/>
      <name val="宋体"/>
      <charset val="134"/>
      <scheme val="minor"/>
    </font>
    <font>
      <b/>
      <sz val="12"/>
      <color rgb="FFC00000"/>
      <name val="宋体"/>
      <charset val="134"/>
      <scheme val="minor"/>
    </font>
    <font>
      <b/>
      <sz val="12"/>
      <color theme="1"/>
      <name val="宋体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D9E1F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top"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/>
    </xf>
    <xf numFmtId="0" fontId="3" fillId="0" borderId="0" xfId="0" applyFont="1" applyAlignment="1">
      <alignment vertical="top" wrapText="1"/>
    </xf>
    <xf numFmtId="0" fontId="2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vertical="top" wrapText="1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6" fillId="4" borderId="0" xfId="0" applyFont="1" applyFill="1">
      <alignment vertical="center"/>
    </xf>
    <xf numFmtId="0" fontId="6" fillId="4" borderId="0" xfId="0" applyFont="1" applyFill="1" applyAlignment="1">
      <alignment vertical="center"/>
    </xf>
    <xf numFmtId="0" fontId="9" fillId="5" borderId="2" xfId="0" applyFont="1" applyFill="1" applyBorder="1">
      <alignment vertical="center"/>
    </xf>
    <xf numFmtId="0" fontId="0" fillId="0" borderId="2" xfId="0" applyBorder="1">
      <alignment vertical="center"/>
    </xf>
    <xf numFmtId="0" fontId="9" fillId="5" borderId="2" xfId="0" applyFont="1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1504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E80B1CE-689B-4AB1-A106-3E747955946D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a6a5b1ea-80a0-4356-8c12-0a77bae65c30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U28"/>
  <sheetViews>
    <sheetView workbookViewId="0">
      <selection activeCell="F15" sqref="F15"/>
    </sheetView>
  </sheetViews>
  <sheetFormatPr defaultColWidth="8.35546875" defaultRowHeight="15" x14ac:dyDescent="0.3"/>
  <cols>
    <col min="1" max="1" width="5.5703125" style="1" customWidth="1"/>
    <col min="2" max="2" width="10.5" style="1" customWidth="1"/>
    <col min="3" max="3" width="11.0703125" style="1" customWidth="1"/>
    <col min="4" max="4" width="26.2109375" style="1" customWidth="1"/>
    <col min="5" max="5" width="21.78515625" style="1" customWidth="1"/>
    <col min="6" max="6" width="40.85546875" style="1" customWidth="1"/>
    <col min="7" max="7" width="10.28515625" style="1" customWidth="1"/>
    <col min="8" max="8" width="44.92578125" style="1" customWidth="1"/>
    <col min="9" max="9" width="11.2109375" style="1" customWidth="1"/>
    <col min="10" max="10" width="15.5" style="1" customWidth="1"/>
    <col min="11" max="12" width="8.35546875" style="1"/>
    <col min="13" max="13" width="100.640625" style="1" customWidth="1"/>
    <col min="14" max="16375" width="8.35546875" style="1"/>
  </cols>
  <sheetData>
    <row r="1" spans="1:16" s="1" customFormat="1" ht="14.1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M1" s="3"/>
      <c r="N1" s="3"/>
      <c r="O1" s="3"/>
      <c r="P1" s="3"/>
    </row>
    <row r="2" spans="1:16" s="1" customFormat="1" ht="14.15" x14ac:dyDescent="0.3">
      <c r="A2" s="2">
        <v>1</v>
      </c>
      <c r="B2" s="16" t="s">
        <v>10</v>
      </c>
      <c r="C2" s="16" t="s">
        <v>11</v>
      </c>
      <c r="D2" s="4" t="s">
        <v>12</v>
      </c>
      <c r="E2" s="4" t="s">
        <v>13</v>
      </c>
      <c r="F2" s="5" t="s">
        <v>14</v>
      </c>
      <c r="G2" s="2" t="s">
        <v>15</v>
      </c>
      <c r="H2" s="2" t="str">
        <f>B$2&amp;"."&amp;C$2&amp;"."&amp;D2</f>
        <v>WCS_Task.From_WCS.WCS_Heart</v>
      </c>
      <c r="I2" s="2" t="s">
        <v>16</v>
      </c>
      <c r="J2" s="4" t="s">
        <v>17</v>
      </c>
      <c r="M2" s="17" t="s">
        <v>18</v>
      </c>
      <c r="N2" s="3"/>
      <c r="O2" s="3"/>
      <c r="P2" s="3"/>
    </row>
    <row r="3" spans="1:16" s="1" customFormat="1" ht="102" customHeight="1" x14ac:dyDescent="0.3">
      <c r="A3" s="2">
        <v>2</v>
      </c>
      <c r="B3" s="16"/>
      <c r="C3" s="16"/>
      <c r="D3" s="6" t="s">
        <v>19</v>
      </c>
      <c r="E3" s="6" t="s">
        <v>20</v>
      </c>
      <c r="F3" s="7" t="s">
        <v>21</v>
      </c>
      <c r="G3" s="6" t="s">
        <v>15</v>
      </c>
      <c r="H3" s="6" t="str">
        <f t="shared" ref="H3:H13" si="0">B$2&amp;"."&amp;C$2&amp;"."&amp;D3</f>
        <v>WCS_Task.From_WCS.cmd_TaskType</v>
      </c>
      <c r="I3" s="6" t="s">
        <v>16</v>
      </c>
      <c r="J3" s="8" t="s">
        <v>22</v>
      </c>
      <c r="M3" s="17"/>
      <c r="N3" s="3"/>
      <c r="O3" s="3"/>
      <c r="P3" s="3"/>
    </row>
    <row r="4" spans="1:16" s="1" customFormat="1" ht="14.15" x14ac:dyDescent="0.3">
      <c r="A4" s="2">
        <v>3</v>
      </c>
      <c r="B4" s="16"/>
      <c r="C4" s="16"/>
      <c r="D4" s="6" t="s">
        <v>23</v>
      </c>
      <c r="E4" s="6" t="s">
        <v>24</v>
      </c>
      <c r="F4" s="6"/>
      <c r="G4" s="6" t="s">
        <v>15</v>
      </c>
      <c r="H4" s="6" t="str">
        <f t="shared" si="0"/>
        <v>WCS_Task.From_WCS.cmd_ResetFault</v>
      </c>
      <c r="I4" s="6" t="s">
        <v>16</v>
      </c>
      <c r="J4" s="6" t="s">
        <v>25</v>
      </c>
      <c r="M4" s="17"/>
      <c r="N4" s="3"/>
      <c r="O4" s="3"/>
      <c r="P4" s="3"/>
    </row>
    <row r="5" spans="1:16" s="1" customFormat="1" ht="14.15" x14ac:dyDescent="0.3">
      <c r="A5" s="2">
        <v>4</v>
      </c>
      <c r="B5" s="16"/>
      <c r="C5" s="16"/>
      <c r="D5" s="6" t="s">
        <v>26</v>
      </c>
      <c r="E5" s="6" t="s">
        <v>27</v>
      </c>
      <c r="F5" s="9" t="s">
        <v>28</v>
      </c>
      <c r="G5" s="6" t="s">
        <v>15</v>
      </c>
      <c r="H5" s="6" t="str">
        <f t="shared" si="0"/>
        <v>WCS_Task.From_WCS.cmd_TakeCoor_Row</v>
      </c>
      <c r="I5" s="6" t="s">
        <v>16</v>
      </c>
      <c r="J5" s="6" t="s">
        <v>29</v>
      </c>
      <c r="M5" s="17"/>
      <c r="N5" s="3"/>
      <c r="O5" s="3"/>
      <c r="P5" s="3"/>
    </row>
    <row r="6" spans="1:16" s="1" customFormat="1" ht="14.15" x14ac:dyDescent="0.3">
      <c r="A6" s="2">
        <v>5</v>
      </c>
      <c r="B6" s="16"/>
      <c r="C6" s="16"/>
      <c r="D6" s="6" t="s">
        <v>30</v>
      </c>
      <c r="E6" s="6" t="s">
        <v>31</v>
      </c>
      <c r="F6" s="9" t="s">
        <v>32</v>
      </c>
      <c r="G6" s="6" t="s">
        <v>15</v>
      </c>
      <c r="H6" s="6" t="str">
        <f t="shared" si="0"/>
        <v>WCS_Task.From_WCS.cmd_TakeCoor_Column</v>
      </c>
      <c r="I6" s="6" t="s">
        <v>16</v>
      </c>
      <c r="J6" s="6" t="s">
        <v>33</v>
      </c>
      <c r="M6" s="17"/>
      <c r="N6" s="3"/>
      <c r="O6" s="3"/>
      <c r="P6" s="3"/>
    </row>
    <row r="7" spans="1:16" s="1" customFormat="1" ht="14.15" x14ac:dyDescent="0.3">
      <c r="A7" s="2">
        <v>6</v>
      </c>
      <c r="B7" s="16"/>
      <c r="C7" s="16"/>
      <c r="D7" s="6" t="s">
        <v>34</v>
      </c>
      <c r="E7" s="6" t="s">
        <v>35</v>
      </c>
      <c r="F7" s="9" t="s">
        <v>36</v>
      </c>
      <c r="G7" s="6" t="s">
        <v>15</v>
      </c>
      <c r="H7" s="6" t="str">
        <f t="shared" si="0"/>
        <v>WCS_Task.From_WCS.cmd_TakeCoor_Floor</v>
      </c>
      <c r="I7" s="6" t="s">
        <v>16</v>
      </c>
      <c r="J7" s="6" t="s">
        <v>37</v>
      </c>
      <c r="M7" s="17"/>
      <c r="N7" s="3"/>
      <c r="O7" s="3"/>
      <c r="P7" s="3"/>
    </row>
    <row r="8" spans="1:16" s="1" customFormat="1" ht="14.15" x14ac:dyDescent="0.3">
      <c r="A8" s="2">
        <v>7</v>
      </c>
      <c r="B8" s="16"/>
      <c r="C8" s="16"/>
      <c r="D8" s="6" t="s">
        <v>38</v>
      </c>
      <c r="E8" s="6" t="s">
        <v>39</v>
      </c>
      <c r="F8" s="9" t="s">
        <v>40</v>
      </c>
      <c r="G8" s="6" t="s">
        <v>15</v>
      </c>
      <c r="H8" s="6" t="str">
        <f t="shared" si="0"/>
        <v>WCS_Task.From_WCS.cmd_PutCoor_Row</v>
      </c>
      <c r="I8" s="6" t="s">
        <v>16</v>
      </c>
      <c r="J8" s="6" t="s">
        <v>41</v>
      </c>
      <c r="M8" s="17"/>
      <c r="N8" s="3"/>
      <c r="O8" s="3"/>
      <c r="P8" s="3"/>
    </row>
    <row r="9" spans="1:16" s="1" customFormat="1" ht="14.15" x14ac:dyDescent="0.3">
      <c r="A9" s="2">
        <v>8</v>
      </c>
      <c r="B9" s="16"/>
      <c r="C9" s="16"/>
      <c r="D9" s="6" t="s">
        <v>42</v>
      </c>
      <c r="E9" s="6" t="s">
        <v>43</v>
      </c>
      <c r="F9" s="9" t="s">
        <v>32</v>
      </c>
      <c r="G9" s="6" t="s">
        <v>15</v>
      </c>
      <c r="H9" s="6" t="str">
        <f t="shared" si="0"/>
        <v>WCS_Task.From_WCS.cmd_PutCoor_Column</v>
      </c>
      <c r="I9" s="6" t="s">
        <v>16</v>
      </c>
      <c r="J9" s="6" t="s">
        <v>44</v>
      </c>
      <c r="M9" s="17"/>
      <c r="N9" s="3"/>
      <c r="O9" s="3"/>
      <c r="P9" s="3"/>
    </row>
    <row r="10" spans="1:16" s="1" customFormat="1" ht="14.15" x14ac:dyDescent="0.3">
      <c r="A10" s="2">
        <v>9</v>
      </c>
      <c r="B10" s="16"/>
      <c r="C10" s="16"/>
      <c r="D10" s="6" t="s">
        <v>45</v>
      </c>
      <c r="E10" s="6" t="s">
        <v>46</v>
      </c>
      <c r="F10" s="9" t="s">
        <v>36</v>
      </c>
      <c r="G10" s="6" t="s">
        <v>15</v>
      </c>
      <c r="H10" s="6" t="str">
        <f t="shared" si="0"/>
        <v>WCS_Task.From_WCS.cmd_PutCoor_Floor</v>
      </c>
      <c r="I10" s="6" t="s">
        <v>16</v>
      </c>
      <c r="J10" s="6" t="s">
        <v>47</v>
      </c>
      <c r="M10" s="17"/>
      <c r="N10" s="3"/>
      <c r="O10" s="3"/>
      <c r="P10" s="3"/>
    </row>
    <row r="11" spans="1:16" s="1" customFormat="1" ht="14.15" x14ac:dyDescent="0.3">
      <c r="A11" s="2">
        <v>10</v>
      </c>
      <c r="B11" s="16"/>
      <c r="C11" s="16"/>
      <c r="D11" s="6" t="s">
        <v>48</v>
      </c>
      <c r="E11" s="6" t="s">
        <v>49</v>
      </c>
      <c r="F11" s="9" t="s">
        <v>50</v>
      </c>
      <c r="G11" s="6" t="s">
        <v>15</v>
      </c>
      <c r="H11" s="6" t="str">
        <f t="shared" si="0"/>
        <v>WCS_Task.From_WCS.cmd_PortNum</v>
      </c>
      <c r="I11" s="6" t="s">
        <v>16</v>
      </c>
      <c r="J11" s="6" t="s">
        <v>51</v>
      </c>
      <c r="M11" s="17"/>
      <c r="N11" s="3"/>
      <c r="O11" s="3"/>
      <c r="P11" s="3"/>
    </row>
    <row r="12" spans="1:16" s="1" customFormat="1" ht="14.15" x14ac:dyDescent="0.3">
      <c r="A12" s="2">
        <v>11</v>
      </c>
      <c r="B12" s="16"/>
      <c r="C12" s="16"/>
      <c r="D12" s="6" t="s">
        <v>52</v>
      </c>
      <c r="E12" s="6" t="s">
        <v>53</v>
      </c>
      <c r="F12" s="6" t="s">
        <v>54</v>
      </c>
      <c r="G12" s="6" t="s">
        <v>15</v>
      </c>
      <c r="H12" s="6" t="str">
        <f t="shared" si="0"/>
        <v>WCS_Task.From_WCS.cmd_TaskNum</v>
      </c>
      <c r="I12" s="6" t="s">
        <v>16</v>
      </c>
      <c r="J12" s="10" t="s">
        <v>55</v>
      </c>
      <c r="M12" s="17"/>
      <c r="N12" s="3"/>
      <c r="O12" s="3"/>
      <c r="P12" s="3"/>
    </row>
    <row r="13" spans="1:16" s="1" customFormat="1" ht="57" customHeight="1" x14ac:dyDescent="0.3">
      <c r="A13" s="2">
        <v>12</v>
      </c>
      <c r="B13" s="16"/>
      <c r="C13" s="16"/>
      <c r="D13" s="6" t="s">
        <v>56</v>
      </c>
      <c r="E13" s="6" t="s">
        <v>57</v>
      </c>
      <c r="F13" s="11" t="s">
        <v>58</v>
      </c>
      <c r="G13" s="6" t="s">
        <v>15</v>
      </c>
      <c r="H13" s="6" t="str">
        <f t="shared" si="0"/>
        <v>WCS_Task.From_WCS.cmd_ConfirmTask</v>
      </c>
      <c r="I13" s="6" t="s">
        <v>16</v>
      </c>
      <c r="J13" s="6" t="s">
        <v>59</v>
      </c>
      <c r="M13" s="17"/>
      <c r="N13" s="3"/>
      <c r="O13" s="3"/>
      <c r="P13" s="3"/>
    </row>
    <row r="14" spans="1:16" s="1" customFormat="1" ht="14.15" x14ac:dyDescent="0.3">
      <c r="A14" s="2">
        <v>13</v>
      </c>
      <c r="B14" s="16"/>
      <c r="C14" s="16" t="s">
        <v>60</v>
      </c>
      <c r="D14" s="12" t="s">
        <v>61</v>
      </c>
      <c r="E14" s="12" t="s">
        <v>62</v>
      </c>
      <c r="F14" s="6" t="s">
        <v>63</v>
      </c>
      <c r="G14" s="6" t="s">
        <v>64</v>
      </c>
      <c r="H14" s="6" t="str">
        <f t="shared" ref="H14:H27" si="1">B$2&amp;"."&amp;C$14&amp;"."&amp;D14</f>
        <v>WCS_Task.To_WCS.PLC_Heart</v>
      </c>
      <c r="I14" s="6" t="s">
        <v>16</v>
      </c>
      <c r="J14" s="6" t="s">
        <v>65</v>
      </c>
      <c r="M14" s="13"/>
    </row>
    <row r="15" spans="1:16" s="1" customFormat="1" ht="72" customHeight="1" x14ac:dyDescent="0.3">
      <c r="A15" s="2">
        <v>14</v>
      </c>
      <c r="B15" s="16"/>
      <c r="C15" s="16"/>
      <c r="D15" s="6" t="s">
        <v>66</v>
      </c>
      <c r="E15" s="6" t="s">
        <v>67</v>
      </c>
      <c r="F15" s="14" t="s">
        <v>68</v>
      </c>
      <c r="G15" s="6" t="s">
        <v>64</v>
      </c>
      <c r="H15" s="6" t="str">
        <f t="shared" si="1"/>
        <v>WCS_Task.To_WCS.status_Mode</v>
      </c>
      <c r="I15" s="6" t="s">
        <v>16</v>
      </c>
      <c r="J15" s="6" t="s">
        <v>69</v>
      </c>
      <c r="M15" s="13"/>
    </row>
    <row r="16" spans="1:16" s="1" customFormat="1" ht="42.45" x14ac:dyDescent="0.3">
      <c r="A16" s="2">
        <v>15</v>
      </c>
      <c r="B16" s="16"/>
      <c r="C16" s="16"/>
      <c r="D16" s="15" t="s">
        <v>70</v>
      </c>
      <c r="E16" s="15" t="s">
        <v>71</v>
      </c>
      <c r="F16" s="7" t="s">
        <v>72</v>
      </c>
      <c r="G16" s="6" t="s">
        <v>64</v>
      </c>
      <c r="H16" s="6" t="str">
        <f t="shared" si="1"/>
        <v>WCS_Task.To_WCS.status_Task</v>
      </c>
      <c r="I16" s="6" t="s">
        <v>16</v>
      </c>
      <c r="J16" s="6" t="s">
        <v>73</v>
      </c>
      <c r="M16" s="13"/>
    </row>
    <row r="17" spans="1:13" s="1" customFormat="1" ht="91" customHeight="1" x14ac:dyDescent="0.3">
      <c r="A17" s="2">
        <v>16</v>
      </c>
      <c r="B17" s="16"/>
      <c r="C17" s="16"/>
      <c r="D17" s="15" t="s">
        <v>74</v>
      </c>
      <c r="E17" s="15" t="s">
        <v>75</v>
      </c>
      <c r="F17" s="7" t="s">
        <v>76</v>
      </c>
      <c r="G17" s="6" t="s">
        <v>64</v>
      </c>
      <c r="H17" s="6" t="str">
        <f t="shared" si="1"/>
        <v>WCS_Task.To_WCS.status_TaskTypeFeedback</v>
      </c>
      <c r="I17" s="6" t="s">
        <v>16</v>
      </c>
      <c r="J17" s="6" t="s">
        <v>77</v>
      </c>
      <c r="M17" s="13"/>
    </row>
    <row r="18" spans="1:13" s="1" customFormat="1" ht="14.15" x14ac:dyDescent="0.3">
      <c r="A18" s="2">
        <v>17</v>
      </c>
      <c r="B18" s="16"/>
      <c r="C18" s="16"/>
      <c r="D18" s="6" t="s">
        <v>78</v>
      </c>
      <c r="E18" s="6" t="s">
        <v>79</v>
      </c>
      <c r="F18" s="9" t="s">
        <v>32</v>
      </c>
      <c r="G18" s="6" t="s">
        <v>64</v>
      </c>
      <c r="H18" s="6" t="str">
        <f t="shared" si="1"/>
        <v>WCS_Task.To_WCS.status_CurrentColumnNum</v>
      </c>
      <c r="I18" s="6" t="s">
        <v>16</v>
      </c>
      <c r="J18" s="6" t="s">
        <v>80</v>
      </c>
      <c r="M18" s="13"/>
    </row>
    <row r="19" spans="1:13" s="1" customFormat="1" ht="14.15" x14ac:dyDescent="0.3">
      <c r="A19" s="2">
        <v>18</v>
      </c>
      <c r="B19" s="16"/>
      <c r="C19" s="16"/>
      <c r="D19" s="6" t="s">
        <v>81</v>
      </c>
      <c r="E19" s="6" t="s">
        <v>82</v>
      </c>
      <c r="F19" s="9" t="s">
        <v>36</v>
      </c>
      <c r="G19" s="6" t="s">
        <v>64</v>
      </c>
      <c r="H19" s="6" t="str">
        <f t="shared" si="1"/>
        <v>WCS_Task.To_WCS.status_CurrentFloorNum</v>
      </c>
      <c r="I19" s="6" t="s">
        <v>16</v>
      </c>
      <c r="J19" s="6" t="s">
        <v>83</v>
      </c>
      <c r="M19" s="13"/>
    </row>
    <row r="20" spans="1:13" s="1" customFormat="1" ht="14.15" x14ac:dyDescent="0.3">
      <c r="A20" s="2">
        <v>19</v>
      </c>
      <c r="B20" s="16"/>
      <c r="C20" s="16"/>
      <c r="D20" s="6" t="s">
        <v>84</v>
      </c>
      <c r="E20" s="6" t="s">
        <v>85</v>
      </c>
      <c r="F20" s="6" t="s">
        <v>86</v>
      </c>
      <c r="G20" s="6" t="s">
        <v>64</v>
      </c>
      <c r="H20" s="6" t="str">
        <f t="shared" si="1"/>
        <v>WCS_Task.To_WCS.status_Speed_Lift</v>
      </c>
      <c r="I20" s="6" t="s">
        <v>87</v>
      </c>
      <c r="J20" s="6" t="s">
        <v>88</v>
      </c>
      <c r="M20" s="13"/>
    </row>
    <row r="21" spans="1:13" s="1" customFormat="1" ht="14.15" x14ac:dyDescent="0.3">
      <c r="A21" s="2">
        <v>20</v>
      </c>
      <c r="B21" s="16"/>
      <c r="C21" s="16"/>
      <c r="D21" s="6" t="s">
        <v>89</v>
      </c>
      <c r="E21" s="6" t="s">
        <v>90</v>
      </c>
      <c r="F21" s="6" t="s">
        <v>86</v>
      </c>
      <c r="G21" s="6" t="s">
        <v>64</v>
      </c>
      <c r="H21" s="6" t="str">
        <f t="shared" si="1"/>
        <v>WCS_Task.To_WCS.status_Speed_Walk</v>
      </c>
      <c r="I21" s="6" t="s">
        <v>87</v>
      </c>
      <c r="J21" s="6" t="s">
        <v>91</v>
      </c>
      <c r="M21" s="13"/>
    </row>
    <row r="22" spans="1:13" s="1" customFormat="1" ht="14.15" x14ac:dyDescent="0.3">
      <c r="A22" s="2">
        <v>21</v>
      </c>
      <c r="B22" s="16"/>
      <c r="C22" s="16"/>
      <c r="D22" s="6" t="s">
        <v>92</v>
      </c>
      <c r="E22" s="6" t="s">
        <v>93</v>
      </c>
      <c r="F22" s="6" t="s">
        <v>86</v>
      </c>
      <c r="G22" s="6" t="s">
        <v>64</v>
      </c>
      <c r="H22" s="6" t="str">
        <f t="shared" si="1"/>
        <v>WCS_Task.To_WCS.status_Speed_Fork</v>
      </c>
      <c r="I22" s="6" t="s">
        <v>87</v>
      </c>
      <c r="J22" s="6" t="s">
        <v>94</v>
      </c>
      <c r="M22" s="13"/>
    </row>
    <row r="23" spans="1:13" s="1" customFormat="1" ht="14.15" x14ac:dyDescent="0.3">
      <c r="A23" s="2">
        <v>22</v>
      </c>
      <c r="B23" s="16"/>
      <c r="C23" s="16"/>
      <c r="D23" s="6" t="s">
        <v>95</v>
      </c>
      <c r="E23" s="6" t="s">
        <v>96</v>
      </c>
      <c r="F23" s="6" t="s">
        <v>97</v>
      </c>
      <c r="G23" s="6" t="s">
        <v>64</v>
      </c>
      <c r="H23" s="6" t="str">
        <f t="shared" si="1"/>
        <v>WCS_Task.To_WCS.status_CurrentPos_Walk</v>
      </c>
      <c r="I23" s="6" t="s">
        <v>87</v>
      </c>
      <c r="J23" s="6" t="s">
        <v>98</v>
      </c>
      <c r="M23" s="13"/>
    </row>
    <row r="24" spans="1:13" s="1" customFormat="1" ht="14.15" x14ac:dyDescent="0.3">
      <c r="A24" s="2">
        <v>23</v>
      </c>
      <c r="B24" s="16"/>
      <c r="C24" s="16"/>
      <c r="D24" s="6" t="s">
        <v>99</v>
      </c>
      <c r="E24" s="6" t="s">
        <v>100</v>
      </c>
      <c r="F24" s="6" t="s">
        <v>97</v>
      </c>
      <c r="G24" s="6" t="s">
        <v>64</v>
      </c>
      <c r="H24" s="6" t="str">
        <f t="shared" si="1"/>
        <v>WCS_Task.To_WCS.status_CurrentPos_Lift</v>
      </c>
      <c r="I24" s="6" t="s">
        <v>87</v>
      </c>
      <c r="J24" s="6" t="s">
        <v>101</v>
      </c>
      <c r="M24" s="13"/>
    </row>
    <row r="25" spans="1:13" s="1" customFormat="1" ht="14.15" x14ac:dyDescent="0.3">
      <c r="A25" s="2">
        <v>24</v>
      </c>
      <c r="B25" s="16"/>
      <c r="C25" s="16"/>
      <c r="D25" s="6" t="s">
        <v>102</v>
      </c>
      <c r="E25" s="6" t="s">
        <v>103</v>
      </c>
      <c r="F25" s="6" t="s">
        <v>97</v>
      </c>
      <c r="G25" s="6" t="s">
        <v>64</v>
      </c>
      <c r="H25" s="6" t="str">
        <f t="shared" si="1"/>
        <v>WCS_Task.To_WCS.status_CurrentPos_Fork</v>
      </c>
      <c r="I25" s="6" t="s">
        <v>87</v>
      </c>
      <c r="J25" s="6" t="s">
        <v>104</v>
      </c>
      <c r="M25" s="13"/>
    </row>
    <row r="26" spans="1:13" s="1" customFormat="1" ht="14.15" x14ac:dyDescent="0.3">
      <c r="A26" s="2">
        <v>25</v>
      </c>
      <c r="B26" s="16"/>
      <c r="C26" s="16"/>
      <c r="D26" s="6" t="s">
        <v>105</v>
      </c>
      <c r="E26" s="6" t="s">
        <v>106</v>
      </c>
      <c r="F26" s="6" t="s">
        <v>107</v>
      </c>
      <c r="G26" s="6" t="s">
        <v>64</v>
      </c>
      <c r="H26" s="6" t="str">
        <f t="shared" si="1"/>
        <v>WCS_Task.To_WCS.status_TaskNum</v>
      </c>
      <c r="I26" s="6" t="s">
        <v>16</v>
      </c>
      <c r="J26" s="6" t="s">
        <v>108</v>
      </c>
      <c r="M26" s="13"/>
    </row>
    <row r="27" spans="1:13" s="1" customFormat="1" ht="37.1" customHeight="1" x14ac:dyDescent="0.3">
      <c r="A27" s="2">
        <v>26</v>
      </c>
      <c r="B27" s="16"/>
      <c r="C27" s="16"/>
      <c r="D27" s="6" t="s">
        <v>109</v>
      </c>
      <c r="E27" s="6" t="s">
        <v>110</v>
      </c>
      <c r="F27" s="10" t="s">
        <v>111</v>
      </c>
      <c r="G27" s="6" t="s">
        <v>64</v>
      </c>
      <c r="H27" s="6" t="str">
        <f t="shared" si="1"/>
        <v>WCS_Task.To_WCS.status_Cargo</v>
      </c>
      <c r="I27" s="6" t="s">
        <v>16</v>
      </c>
      <c r="J27" s="6" t="s">
        <v>112</v>
      </c>
      <c r="M27" s="13"/>
    </row>
    <row r="28" spans="1:13" ht="409.6" x14ac:dyDescent="0.3">
      <c r="A28" s="2">
        <v>27</v>
      </c>
      <c r="B28" s="16"/>
      <c r="C28" s="16"/>
      <c r="D28" s="6" t="s">
        <v>113</v>
      </c>
      <c r="E28" s="6" t="s">
        <v>114</v>
      </c>
      <c r="F28" s="10" t="s">
        <v>115</v>
      </c>
      <c r="G28" s="6" t="s">
        <v>64</v>
      </c>
      <c r="H28" s="6"/>
      <c r="I28" s="10" t="s">
        <v>116</v>
      </c>
      <c r="J28" s="10" t="s">
        <v>117</v>
      </c>
    </row>
  </sheetData>
  <mergeCells count="4">
    <mergeCell ref="B2:B28"/>
    <mergeCell ref="C2:C13"/>
    <mergeCell ref="C14:C28"/>
    <mergeCell ref="M2:M13"/>
  </mergeCells>
  <phoneticPr fontId="5" type="noConversion"/>
  <pageMargins left="0.75" right="0.75" top="1" bottom="1" header="0.51180555555555596" footer="0.5118055555555559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DE9B4-2346-47A1-A87A-441E8884B42E}">
  <dimension ref="A1:D56"/>
  <sheetViews>
    <sheetView tabSelected="1" topLeftCell="A19" workbookViewId="0">
      <selection activeCell="A25" sqref="A25"/>
    </sheetView>
  </sheetViews>
  <sheetFormatPr defaultRowHeight="15" x14ac:dyDescent="0.3"/>
  <cols>
    <col min="1" max="1" width="25" customWidth="1"/>
    <col min="2" max="2" width="33.35546875" customWidth="1"/>
    <col min="3" max="3" width="18.35546875" customWidth="1"/>
    <col min="4" max="4" width="71.640625" customWidth="1"/>
  </cols>
  <sheetData>
    <row r="1" spans="1:4" ht="28" customHeight="1" x14ac:dyDescent="0.3">
      <c r="A1" s="21" t="s">
        <v>118</v>
      </c>
      <c r="B1" s="20"/>
      <c r="C1" s="20"/>
      <c r="D1" s="20"/>
    </row>
    <row r="3" spans="1:4" x14ac:dyDescent="0.3">
      <c r="A3" s="18" t="s">
        <v>119</v>
      </c>
    </row>
    <row r="4" spans="1:4" x14ac:dyDescent="0.3">
      <c r="A4" t="s">
        <v>120</v>
      </c>
    </row>
    <row r="5" spans="1:4" x14ac:dyDescent="0.3">
      <c r="A5" t="s">
        <v>121</v>
      </c>
    </row>
    <row r="6" spans="1:4" x14ac:dyDescent="0.3">
      <c r="A6" t="s">
        <v>122</v>
      </c>
    </row>
    <row r="8" spans="1:4" x14ac:dyDescent="0.3">
      <c r="A8" s="18" t="s">
        <v>123</v>
      </c>
    </row>
    <row r="9" spans="1:4" x14ac:dyDescent="0.3">
      <c r="A9" s="19" t="s">
        <v>124</v>
      </c>
    </row>
    <row r="10" spans="1:4" x14ac:dyDescent="0.3">
      <c r="A10" s="22" t="s">
        <v>9</v>
      </c>
      <c r="B10" s="22" t="s">
        <v>3</v>
      </c>
      <c r="C10" s="22" t="s">
        <v>125</v>
      </c>
      <c r="D10" s="24" t="s">
        <v>126</v>
      </c>
    </row>
    <row r="11" spans="1:4" x14ac:dyDescent="0.3">
      <c r="A11" s="23" t="s">
        <v>17</v>
      </c>
      <c r="B11" s="23" t="s">
        <v>12</v>
      </c>
      <c r="C11" s="23" t="s">
        <v>16</v>
      </c>
      <c r="D11" s="25" t="s">
        <v>127</v>
      </c>
    </row>
    <row r="12" spans="1:4" x14ac:dyDescent="0.3">
      <c r="A12" s="23" t="s">
        <v>22</v>
      </c>
      <c r="B12" s="23" t="s">
        <v>19</v>
      </c>
      <c r="C12" s="23" t="s">
        <v>16</v>
      </c>
      <c r="D12" s="25" t="s">
        <v>128</v>
      </c>
    </row>
    <row r="13" spans="1:4" x14ac:dyDescent="0.3">
      <c r="A13" s="23" t="s">
        <v>25</v>
      </c>
      <c r="B13" s="23" t="s">
        <v>23</v>
      </c>
      <c r="C13" s="23" t="s">
        <v>16</v>
      </c>
      <c r="D13" s="25" t="s">
        <v>129</v>
      </c>
    </row>
    <row r="14" spans="1:4" x14ac:dyDescent="0.3">
      <c r="A14" s="23" t="s">
        <v>29</v>
      </c>
      <c r="B14" s="23" t="s">
        <v>26</v>
      </c>
      <c r="C14" s="23" t="s">
        <v>16</v>
      </c>
      <c r="D14" s="25" t="s">
        <v>130</v>
      </c>
    </row>
    <row r="15" spans="1:4" x14ac:dyDescent="0.3">
      <c r="A15" s="23" t="s">
        <v>33</v>
      </c>
      <c r="B15" s="23" t="s">
        <v>30</v>
      </c>
      <c r="C15" s="23" t="s">
        <v>16</v>
      </c>
      <c r="D15" s="25" t="s">
        <v>131</v>
      </c>
    </row>
    <row r="16" spans="1:4" x14ac:dyDescent="0.3">
      <c r="A16" s="23" t="s">
        <v>37</v>
      </c>
      <c r="B16" s="23" t="s">
        <v>34</v>
      </c>
      <c r="C16" s="23" t="s">
        <v>16</v>
      </c>
      <c r="D16" s="25" t="s">
        <v>132</v>
      </c>
    </row>
    <row r="17" spans="1:4" x14ac:dyDescent="0.3">
      <c r="A17" s="23" t="s">
        <v>41</v>
      </c>
      <c r="B17" s="23" t="s">
        <v>38</v>
      </c>
      <c r="C17" s="23" t="s">
        <v>16</v>
      </c>
      <c r="D17" s="25" t="s">
        <v>133</v>
      </c>
    </row>
    <row r="18" spans="1:4" x14ac:dyDescent="0.3">
      <c r="A18" s="23" t="s">
        <v>44</v>
      </c>
      <c r="B18" s="23" t="s">
        <v>42</v>
      </c>
      <c r="C18" s="23" t="s">
        <v>16</v>
      </c>
      <c r="D18" s="25" t="s">
        <v>134</v>
      </c>
    </row>
    <row r="19" spans="1:4" x14ac:dyDescent="0.3">
      <c r="A19" s="23" t="s">
        <v>47</v>
      </c>
      <c r="B19" s="23" t="s">
        <v>45</v>
      </c>
      <c r="C19" s="23" t="s">
        <v>16</v>
      </c>
      <c r="D19" s="25" t="s">
        <v>135</v>
      </c>
    </row>
    <row r="20" spans="1:4" x14ac:dyDescent="0.3">
      <c r="A20" s="23" t="s">
        <v>51</v>
      </c>
      <c r="B20" s="23" t="s">
        <v>48</v>
      </c>
      <c r="C20" s="23" t="s">
        <v>16</v>
      </c>
      <c r="D20" s="25" t="s">
        <v>136</v>
      </c>
    </row>
    <row r="21" spans="1:4" x14ac:dyDescent="0.3">
      <c r="A21" s="23" t="s">
        <v>55</v>
      </c>
      <c r="B21" s="23" t="s">
        <v>52</v>
      </c>
      <c r="C21" s="23" t="s">
        <v>16</v>
      </c>
      <c r="D21" s="25" t="s">
        <v>137</v>
      </c>
    </row>
    <row r="22" spans="1:4" x14ac:dyDescent="0.3">
      <c r="A22" s="23" t="s">
        <v>59</v>
      </c>
      <c r="B22" s="23" t="s">
        <v>56</v>
      </c>
      <c r="C22" s="23" t="s">
        <v>16</v>
      </c>
      <c r="D22" s="25" t="s">
        <v>138</v>
      </c>
    </row>
    <row r="23" spans="1:4" x14ac:dyDescent="0.3">
      <c r="D23" s="26"/>
    </row>
    <row r="24" spans="1:4" x14ac:dyDescent="0.3">
      <c r="A24" s="18" t="s">
        <v>139</v>
      </c>
      <c r="D24" s="26"/>
    </row>
    <row r="25" spans="1:4" x14ac:dyDescent="0.3">
      <c r="A25" s="22" t="s">
        <v>9</v>
      </c>
      <c r="B25" s="22" t="s">
        <v>3</v>
      </c>
      <c r="C25" s="22" t="s">
        <v>125</v>
      </c>
      <c r="D25" s="24" t="s">
        <v>126</v>
      </c>
    </row>
    <row r="26" spans="1:4" x14ac:dyDescent="0.3">
      <c r="A26" s="23" t="s">
        <v>65</v>
      </c>
      <c r="B26" s="23" t="s">
        <v>61</v>
      </c>
      <c r="C26" s="23" t="s">
        <v>16</v>
      </c>
      <c r="D26" s="25" t="s">
        <v>140</v>
      </c>
    </row>
    <row r="27" spans="1:4" x14ac:dyDescent="0.3">
      <c r="A27" s="23" t="s">
        <v>69</v>
      </c>
      <c r="B27" s="23" t="s">
        <v>66</v>
      </c>
      <c r="C27" s="23" t="s">
        <v>16</v>
      </c>
      <c r="D27" s="25" t="s">
        <v>141</v>
      </c>
    </row>
    <row r="28" spans="1:4" x14ac:dyDescent="0.3">
      <c r="A28" s="23" t="s">
        <v>73</v>
      </c>
      <c r="B28" s="23" t="s">
        <v>70</v>
      </c>
      <c r="C28" s="23" t="s">
        <v>16</v>
      </c>
      <c r="D28" s="25" t="s">
        <v>142</v>
      </c>
    </row>
    <row r="29" spans="1:4" x14ac:dyDescent="0.3">
      <c r="A29" s="23" t="s">
        <v>77</v>
      </c>
      <c r="B29" s="23" t="s">
        <v>74</v>
      </c>
      <c r="C29" s="23" t="s">
        <v>16</v>
      </c>
      <c r="D29" s="25" t="s">
        <v>143</v>
      </c>
    </row>
    <row r="30" spans="1:4" x14ac:dyDescent="0.3">
      <c r="A30" s="23" t="s">
        <v>80</v>
      </c>
      <c r="B30" s="23" t="s">
        <v>78</v>
      </c>
      <c r="C30" s="23" t="s">
        <v>16</v>
      </c>
      <c r="D30" s="25" t="s">
        <v>144</v>
      </c>
    </row>
    <row r="31" spans="1:4" x14ac:dyDescent="0.3">
      <c r="A31" s="23" t="s">
        <v>83</v>
      </c>
      <c r="B31" s="23" t="s">
        <v>81</v>
      </c>
      <c r="C31" s="23" t="s">
        <v>16</v>
      </c>
      <c r="D31" s="25" t="s">
        <v>145</v>
      </c>
    </row>
    <row r="32" spans="1:4" x14ac:dyDescent="0.3">
      <c r="A32" s="23" t="s">
        <v>88</v>
      </c>
      <c r="B32" s="23" t="s">
        <v>84</v>
      </c>
      <c r="C32" s="23" t="s">
        <v>87</v>
      </c>
      <c r="D32" s="25" t="s">
        <v>146</v>
      </c>
    </row>
    <row r="33" spans="1:4" x14ac:dyDescent="0.3">
      <c r="A33" s="23" t="s">
        <v>91</v>
      </c>
      <c r="B33" s="23" t="s">
        <v>89</v>
      </c>
      <c r="C33" s="23" t="s">
        <v>87</v>
      </c>
      <c r="D33" s="25" t="s">
        <v>147</v>
      </c>
    </row>
    <row r="34" spans="1:4" x14ac:dyDescent="0.3">
      <c r="A34" s="23" t="s">
        <v>94</v>
      </c>
      <c r="B34" s="23" t="s">
        <v>92</v>
      </c>
      <c r="C34" s="23" t="s">
        <v>87</v>
      </c>
      <c r="D34" s="25" t="s">
        <v>148</v>
      </c>
    </row>
    <row r="35" spans="1:4" x14ac:dyDescent="0.3">
      <c r="A35" s="23" t="s">
        <v>98</v>
      </c>
      <c r="B35" s="23" t="s">
        <v>95</v>
      </c>
      <c r="C35" s="23" t="s">
        <v>87</v>
      </c>
      <c r="D35" s="25" t="s">
        <v>149</v>
      </c>
    </row>
    <row r="36" spans="1:4" x14ac:dyDescent="0.3">
      <c r="A36" s="23" t="s">
        <v>101</v>
      </c>
      <c r="B36" s="23" t="s">
        <v>99</v>
      </c>
      <c r="C36" s="23" t="s">
        <v>87</v>
      </c>
      <c r="D36" s="25" t="s">
        <v>150</v>
      </c>
    </row>
    <row r="37" spans="1:4" x14ac:dyDescent="0.3">
      <c r="A37" s="23" t="s">
        <v>104</v>
      </c>
      <c r="B37" s="23" t="s">
        <v>102</v>
      </c>
      <c r="C37" s="23" t="s">
        <v>87</v>
      </c>
      <c r="D37" s="25" t="s">
        <v>151</v>
      </c>
    </row>
    <row r="38" spans="1:4" x14ac:dyDescent="0.3">
      <c r="A38" s="23" t="s">
        <v>108</v>
      </c>
      <c r="B38" s="23" t="s">
        <v>105</v>
      </c>
      <c r="C38" s="23" t="s">
        <v>16</v>
      </c>
      <c r="D38" s="25" t="s">
        <v>152</v>
      </c>
    </row>
    <row r="39" spans="1:4" x14ac:dyDescent="0.3">
      <c r="A39" s="23" t="s">
        <v>112</v>
      </c>
      <c r="B39" s="23" t="s">
        <v>109</v>
      </c>
      <c r="C39" s="23" t="s">
        <v>16</v>
      </c>
      <c r="D39" s="25" t="s">
        <v>153</v>
      </c>
    </row>
    <row r="40" spans="1:4" x14ac:dyDescent="0.3">
      <c r="A40" s="23" t="s">
        <v>154</v>
      </c>
      <c r="B40" s="23" t="s">
        <v>113</v>
      </c>
      <c r="C40" s="23" t="s">
        <v>155</v>
      </c>
      <c r="D40" s="25" t="s">
        <v>156</v>
      </c>
    </row>
    <row r="42" spans="1:4" x14ac:dyDescent="0.3">
      <c r="A42" s="18" t="s">
        <v>157</v>
      </c>
    </row>
    <row r="43" spans="1:4" x14ac:dyDescent="0.3">
      <c r="A43" s="22" t="s">
        <v>158</v>
      </c>
      <c r="B43" s="24" t="s">
        <v>159</v>
      </c>
    </row>
    <row r="44" spans="1:4" ht="60" x14ac:dyDescent="0.3">
      <c r="A44" s="23" t="s">
        <v>160</v>
      </c>
      <c r="B44" s="25" t="s">
        <v>161</v>
      </c>
    </row>
    <row r="45" spans="1:4" ht="45" x14ac:dyDescent="0.3">
      <c r="A45" s="23" t="s">
        <v>162</v>
      </c>
      <c r="B45" s="25" t="s">
        <v>163</v>
      </c>
    </row>
    <row r="46" spans="1:4" ht="45" x14ac:dyDescent="0.3">
      <c r="A46" s="23" t="s">
        <v>164</v>
      </c>
      <c r="B46" s="25" t="s">
        <v>165</v>
      </c>
    </row>
    <row r="47" spans="1:4" ht="60" x14ac:dyDescent="0.3">
      <c r="A47" s="23" t="s">
        <v>166</v>
      </c>
      <c r="B47" s="25" t="s">
        <v>167</v>
      </c>
    </row>
    <row r="48" spans="1:4" ht="75" x14ac:dyDescent="0.3">
      <c r="A48" s="23" t="s">
        <v>168</v>
      </c>
      <c r="B48" s="25" t="s">
        <v>169</v>
      </c>
    </row>
    <row r="49" spans="1:4" ht="45" x14ac:dyDescent="0.3">
      <c r="A49" s="23" t="s">
        <v>170</v>
      </c>
      <c r="B49" s="25" t="s">
        <v>171</v>
      </c>
    </row>
    <row r="51" spans="1:4" x14ac:dyDescent="0.3">
      <c r="A51" s="18" t="s">
        <v>172</v>
      </c>
    </row>
    <row r="52" spans="1:4" ht="30" customHeight="1" x14ac:dyDescent="0.3">
      <c r="A52" s="27" t="s">
        <v>173</v>
      </c>
      <c r="B52" s="27"/>
      <c r="C52" s="27"/>
      <c r="D52" s="27"/>
    </row>
    <row r="53" spans="1:4" ht="30" customHeight="1" x14ac:dyDescent="0.3">
      <c r="A53" s="27"/>
      <c r="B53" s="28"/>
      <c r="C53" s="28"/>
      <c r="D53" s="28"/>
    </row>
    <row r="54" spans="1:4" ht="30" customHeight="1" x14ac:dyDescent="0.3">
      <c r="A54" s="27"/>
      <c r="B54" s="28"/>
      <c r="C54" s="28"/>
      <c r="D54" s="28"/>
    </row>
    <row r="55" spans="1:4" ht="30" customHeight="1" x14ac:dyDescent="0.3">
      <c r="A55" s="27"/>
      <c r="B55" s="28"/>
      <c r="C55" s="28"/>
      <c r="D55" s="28"/>
    </row>
    <row r="56" spans="1:4" ht="30" customHeight="1" x14ac:dyDescent="0.3">
      <c r="A56" s="27"/>
      <c r="B56" s="28"/>
      <c r="C56" s="28"/>
      <c r="D56" s="28"/>
    </row>
  </sheetData>
  <mergeCells count="6">
    <mergeCell ref="A1:D1"/>
    <mergeCell ref="A52:D52"/>
    <mergeCell ref="A53:D53"/>
    <mergeCell ref="A54:D54"/>
    <mergeCell ref="A55:D55"/>
    <mergeCell ref="A56:D56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堆垛机标准协议</vt:lpstr>
      <vt:lpstr>WCS对接流程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fanscat</dc:creator>
  <cp:lastModifiedBy>霖 夏侯</cp:lastModifiedBy>
  <dcterms:created xsi:type="dcterms:W3CDTF">2022-04-14T23:41:00Z</dcterms:created>
  <dcterms:modified xsi:type="dcterms:W3CDTF">2026-06-20T09:53:24Z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0981774DD439F04BACB6B6682FAD9722</vt:lpwstr>
  </property>
  <property fmtid="{D5CDD505-2E9C-101B-9397-08002B2CF9AE}" pid="4" name="CalculationRule">
    <vt:i4>0</vt:i4>
  </property>
</Properties>
</file>